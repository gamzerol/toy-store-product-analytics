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Sample siz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<sst xmlns="http://schemas.openxmlformats.org/spreadsheetml/2006/main" count="60" uniqueCount="51">
  <si>
    <t xml:space="preserve">Cross-sell scenario (not a forecast)</t>
  </si>
  <si>
    <t xml:space="preserve">Blue cells on a yellow background are inputs you can change. Black cells are formulas. Assumptions: all extra add-ons are Mini Bear and conversion does not change.</t>
  </si>
  <si>
    <t xml:space="preserve">Input</t>
  </si>
  <si>
    <t xml:space="preserve">Value</t>
  </si>
  <si>
    <t xml:space="preserve">Source / note</t>
  </si>
  <si>
    <t xml:space="preserve">Orders per month</t>
  </si>
  <si>
    <t xml:space="preserve">Average of Dec 2014, Jan 2015, Feb 2015 orders (2,314; 2,099; 2,067), module 01</t>
  </si>
  <si>
    <t xml:space="preserve">Current share of orders with an add-on</t>
  </si>
  <si>
    <t xml:space="preserve">Module 04: 31-37% since Feb 2014, about 35% on average</t>
  </si>
  <si>
    <t xml:space="preserve">Target share of orders with an add-on</t>
  </si>
  <si>
    <t xml:space="preserve">Experiment goal: +5 points</t>
  </si>
  <si>
    <t xml:space="preserve">Add-on price ($)</t>
  </si>
  <si>
    <t xml:space="preserve">Mini Bear price (product revenue / items sold, module 04)</t>
  </si>
  <si>
    <t xml:space="preserve">Add-on gross margin</t>
  </si>
  <si>
    <t xml:space="preserve">Mini Bear margin, module 04 and 06</t>
  </si>
  <si>
    <t xml:space="preserve">Current average order value ($)</t>
  </si>
  <si>
    <t xml:space="preserve">Feb 2015, module 01</t>
  </si>
  <si>
    <t xml:space="preserve">Result</t>
  </si>
  <si>
    <t xml:space="preserve">How it is calculated</t>
  </si>
  <si>
    <t xml:space="preserve">Extra orders with an add-on per month</t>
  </si>
  <si>
    <t xml:space="preserve">orders x (target - current)</t>
  </si>
  <si>
    <t xml:space="preserve">Extra revenue per order ($)</t>
  </si>
  <si>
    <t xml:space="preserve">(target - current) x add-on price</t>
  </si>
  <si>
    <t xml:space="preserve">Extra revenue per month ($)</t>
  </si>
  <si>
    <t xml:space="preserve">extra add-on orders x add-on price</t>
  </si>
  <si>
    <t xml:space="preserve">Extra gross margin per month ($)</t>
  </si>
  <si>
    <t xml:space="preserve">extra revenue x add-on margin</t>
  </si>
  <si>
    <t xml:space="preserve">Extra revenue per year ($)</t>
  </si>
  <si>
    <t xml:space="preserve">monthly x 12 (no seasonality)</t>
  </si>
  <si>
    <t xml:space="preserve">Increase in average order value</t>
  </si>
  <si>
    <t xml:space="preserve">extra revenue per order / current AOV</t>
  </si>
  <si>
    <t xml:space="preserve">Sample size for the cross-sell experiment</t>
  </si>
  <si>
    <t xml:space="preserve">Normal approximation for comparing two shares. Green cells link to the Scenario sheet. The Python result (statsmodels) for 35% vs 40% is 1,470 per version.</t>
  </si>
  <si>
    <t xml:space="preserve">Note</t>
  </si>
  <si>
    <t xml:space="preserve">Baseline share of orders with an add-on</t>
  </si>
  <si>
    <t xml:space="preserve">From the Scenario sheet</t>
  </si>
  <si>
    <t xml:space="preserve">Target share</t>
  </si>
  <si>
    <t xml:space="preserve">Significance level (alpha, two-sided)</t>
  </si>
  <si>
    <t xml:space="preserve">Usual choice: 5% chance of a false win</t>
  </si>
  <si>
    <t xml:space="preserve">Power</t>
  </si>
  <si>
    <t xml:space="preserve">Usual choice: 80% chance to detect a real effect of this size</t>
  </si>
  <si>
    <t xml:space="preserve">z value for alpha</t>
  </si>
  <si>
    <t xml:space="preserve">inverse normal at 1 - alpha/2</t>
  </si>
  <si>
    <t xml:space="preserve">z value for power</t>
  </si>
  <si>
    <t xml:space="preserve">inverse normal at power</t>
  </si>
  <si>
    <t xml:space="preserve">Orders needed per version</t>
  </si>
  <si>
    <t xml:space="preserve">(z_alpha + z_power)^2 x (p1(1-p1) + p2(1-p2)) / (p2 - p1)^2</t>
  </si>
  <si>
    <t xml:space="preserve">Orders needed in total</t>
  </si>
  <si>
    <t xml:space="preserve">two versions</t>
  </si>
  <si>
    <t xml:space="preserve">Months to run at this volume</t>
  </si>
  <si>
    <t xml:space="preserve">total orders needed / orders per month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</si>
</sst>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$#,##0.00"/>
    <numFmt numFmtId="168" formatCode="\$#,##0"/>
    <numFmt numFmtId="169" formatCode="0.000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2160</v>
      </c>
      <c r="C5" s="2" t="s">
        <v>6</v>
      </c>
    </row>
    <row r="6" customFormat="false" ht="15" hidden="false" customHeight="false" outlineLevel="0" collapsed="false">
      <c r="A6" s="4" t="s">
        <v>7</v>
      </c>
      <c r="B6" s="6" t="n">
        <v>0.35</v>
      </c>
      <c r="C6" s="2" t="s">
        <v>8</v>
      </c>
    </row>
    <row r="7" customFormat="false" ht="15" hidden="false" customHeight="false" outlineLevel="0" collapsed="false">
      <c r="A7" s="4" t="s">
        <v>9</v>
      </c>
      <c r="B7" s="6" t="n">
        <v>0.4</v>
      </c>
      <c r="C7" s="2" t="s">
        <v>10</v>
      </c>
    </row>
    <row r="8" customFormat="false" ht="15" hidden="false" customHeight="false" outlineLevel="0" collapsed="false">
      <c r="A8" s="4" t="s">
        <v>11</v>
      </c>
      <c r="B8" s="7" t="n">
        <v>29.99</v>
      </c>
      <c r="C8" s="2" t="s">
        <v>12</v>
      </c>
    </row>
    <row r="9" customFormat="false" ht="15" hidden="false" customHeight="false" outlineLevel="0" collapsed="false">
      <c r="A9" s="4" t="s">
        <v>13</v>
      </c>
      <c r="B9" s="6" t="n">
        <v>0.684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7" t="n">
        <v>62.48</v>
      </c>
      <c r="C10" s="2" t="s">
        <v>16</v>
      </c>
    </row>
    <row r="12" customFormat="false" ht="15" hidden="false" customHeight="false" outlineLevel="0" collapsed="false">
      <c r="A12" s="3" t="s">
        <v>17</v>
      </c>
      <c r="B12" s="3" t="s">
        <v>3</v>
      </c>
      <c r="C12" s="3" t="s">
        <v>18</v>
      </c>
    </row>
    <row r="13" customFormat="false" ht="15" hidden="false" customHeight="false" outlineLevel="0" collapsed="false">
      <c r="A13" s="4" t="s">
        <v>19</v>
      </c>
      <c r="B13" s="8" t="n">
        <f aca="false">B5*(B7-B6)</f>
        <v>108</v>
      </c>
      <c r="C13" s="2" t="s">
        <v>20</v>
      </c>
    </row>
    <row r="14" customFormat="false" ht="15" hidden="false" customHeight="false" outlineLevel="0" collapsed="false">
      <c r="A14" s="4" t="s">
        <v>21</v>
      </c>
      <c r="B14" s="9" t="n">
        <f aca="false">(B7-B6)*B8</f>
        <v>1.4995</v>
      </c>
      <c r="C14" s="2" t="s">
        <v>22</v>
      </c>
    </row>
    <row r="15" customFormat="false" ht="15" hidden="false" customHeight="false" outlineLevel="0" collapsed="false">
      <c r="A15" s="4" t="s">
        <v>23</v>
      </c>
      <c r="B15" s="10" t="n">
        <f aca="false">B13*B8</f>
        <v>3238.92</v>
      </c>
      <c r="C15" s="2" t="s">
        <v>24</v>
      </c>
    </row>
    <row r="16" customFormat="false" ht="15" hidden="false" customHeight="false" outlineLevel="0" collapsed="false">
      <c r="A16" s="4" t="s">
        <v>25</v>
      </c>
      <c r="B16" s="10" t="n">
        <f aca="false">B15*B9</f>
        <v>2215.42128</v>
      </c>
      <c r="C16" s="2" t="s">
        <v>26</v>
      </c>
    </row>
    <row r="17" customFormat="false" ht="15" hidden="false" customHeight="false" outlineLevel="0" collapsed="false">
      <c r="A17" s="4" t="s">
        <v>27</v>
      </c>
      <c r="B17" s="10" t="n">
        <f aca="false">B15*12</f>
        <v>38867.04</v>
      </c>
      <c r="C17" s="2" t="s">
        <v>28</v>
      </c>
    </row>
    <row r="18" customFormat="false" ht="15" hidden="false" customHeight="false" outlineLevel="0" collapsed="false">
      <c r="A18" s="4" t="s">
        <v>29</v>
      </c>
      <c r="B18" s="11" t="n">
        <f aca="false">B14/B10</f>
        <v>0.0239996798975672</v>
      </c>
      <c r="C1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33</v>
      </c>
    </row>
    <row r="5" customFormat="false" ht="15" hidden="false" customHeight="false" outlineLevel="0" collapsed="false">
      <c r="A5" s="4" t="s">
        <v>34</v>
      </c>
      <c r="B5" s="12" t="n">
        <f aca="false">Scenario!B6</f>
        <v>0.35</v>
      </c>
      <c r="C5" s="2" t="s">
        <v>35</v>
      </c>
    </row>
    <row r="6" customFormat="false" ht="15" hidden="false" customHeight="false" outlineLevel="0" collapsed="false">
      <c r="A6" s="4" t="s">
        <v>36</v>
      </c>
      <c r="B6" s="12" t="n">
        <f aca="false">Scenario!B7</f>
        <v>0.4</v>
      </c>
      <c r="C6" s="2" t="s">
        <v>35</v>
      </c>
    </row>
    <row r="7" customFormat="false" ht="15" hidden="false" customHeight="false" outlineLevel="0" collapsed="false">
      <c r="A7" s="4" t="s">
        <v>37</v>
      </c>
      <c r="B7" s="6" t="n">
        <v>0.05</v>
      </c>
      <c r="C7" s="2" t="s">
        <v>38</v>
      </c>
    </row>
    <row r="8" customFormat="false" ht="15" hidden="false" customHeight="false" outlineLevel="0" collapsed="false">
      <c r="A8" s="4" t="s">
        <v>39</v>
      </c>
      <c r="B8" s="6" t="n">
        <v>0.8</v>
      </c>
      <c r="C8" s="2" t="s">
        <v>40</v>
      </c>
    </row>
    <row r="9" customFormat="false" ht="15" hidden="false" customHeight="false" outlineLevel="0" collapsed="false">
      <c r="A9" s="4" t="s">
        <v>5</v>
      </c>
      <c r="B9" s="13" t="n">
        <f aca="false">Scenario!B5</f>
        <v>2160</v>
      </c>
      <c r="C9" s="2" t="s">
        <v>35</v>
      </c>
    </row>
    <row r="11" customFormat="false" ht="15" hidden="false" customHeight="false" outlineLevel="0" collapsed="false">
      <c r="A11" s="3" t="s">
        <v>17</v>
      </c>
      <c r="B11" s="3" t="s">
        <v>3</v>
      </c>
      <c r="C11" s="3" t="s">
        <v>18</v>
      </c>
    </row>
    <row r="12" customFormat="false" ht="15" hidden="false" customHeight="false" outlineLevel="0" collapsed="false">
      <c r="A12" s="4" t="s">
        <v>41</v>
      </c>
      <c r="B12" s="14" t="n">
        <f aca="false">NORMSINV(1-B7/2)</f>
        <v>1.95996398454005</v>
      </c>
      <c r="C12" s="2" t="s">
        <v>42</v>
      </c>
    </row>
    <row r="13" customFormat="false" ht="15" hidden="false" customHeight="false" outlineLevel="0" collapsed="false">
      <c r="A13" s="4" t="s">
        <v>43</v>
      </c>
      <c r="B13" s="14" t="n">
        <f aca="false">NORMSINV(B8)</f>
        <v>0.841621233572914</v>
      </c>
      <c r="C13" s="2" t="s">
        <v>44</v>
      </c>
    </row>
    <row r="14" customFormat="false" ht="15" hidden="false" customHeight="false" outlineLevel="0" collapsed="false">
      <c r="A14" s="4" t="s">
        <v>45</v>
      </c>
      <c r="B14" s="8" t="n">
        <f aca="false">ROUNDUP((B12+B13)^2*(B5*(1-B5)+B6*(1-B6))/(B6-B5)^2,0)</f>
        <v>1468</v>
      </c>
      <c r="C14" s="2" t="s">
        <v>46</v>
      </c>
    </row>
    <row r="15" customFormat="false" ht="15" hidden="false" customHeight="false" outlineLevel="0" collapsed="false">
      <c r="A15" s="4" t="s">
        <v>47</v>
      </c>
      <c r="B15" s="8" t="n">
        <f aca="false">2*B14</f>
        <v>2936</v>
      </c>
      <c r="C15" s="2" t="s">
        <v>48</v>
      </c>
    </row>
    <row r="16" customFormat="false" ht="15" hidden="false" customHeight="false" outlineLevel="0" collapsed="false">
      <c r="A16" s="4" t="s">
        <v>49</v>
      </c>
      <c r="B16" s="15" t="n">
        <f aca="false">B15/B9</f>
        <v>1.35925925925926</v>
      </c>
      <c r="C16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2026-10-23T07:09:26Z</dcterms:created>
  <dc:creator>openpyxl</dc:creator>
  <dc:description/>
  <dc:language>en-US</dc:language>
  <cp:lastModifiedBy/>
  <dcterms:modified xsi:type="dcterms:W3CDTF">2026-10-23T07:09:26Z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